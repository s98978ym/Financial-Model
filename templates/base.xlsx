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設計" sheetId="1" state="visible" r:id="rId1"/>
    <sheet xmlns:r="http://schemas.openxmlformats.org/officeDocument/2006/relationships" name="ミールモデル" sheetId="2" state="visible" r:id="rId2"/>
    <sheet xmlns:r="http://schemas.openxmlformats.org/officeDocument/2006/relationships" name="アカデミーモデル" sheetId="3" state="visible" r:id="rId3"/>
    <sheet xmlns:r="http://schemas.openxmlformats.org/officeDocument/2006/relationships" name="コンサルモデル" sheetId="4" state="visible" r:id="rId4"/>
    <sheet xmlns:r="http://schemas.openxmlformats.org/officeDocument/2006/relationships" name="費用まとめ" sheetId="5" state="visible" r:id="rId5"/>
    <sheet xmlns:r="http://schemas.openxmlformats.org/officeDocument/2006/relationships" name="費用リスト" sheetId="6" state="visible" r:id="rId6"/>
    <sheet xmlns:r="http://schemas.openxmlformats.org/officeDocument/2006/relationships" name="費用タグ" sheetId="7" state="visible" r:id="rId7"/>
    <sheet xmlns:r="http://schemas.openxmlformats.org/officeDocument/2006/relationships" name="（全Ver）前提条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Meiryo"/>
      <b val="1"/>
      <color rgb="FFFFFFFF"/>
      <sz val="14"/>
    </font>
    <font>
      <name val="Meiryo"/>
      <b val="1"/>
      <sz val="11"/>
    </font>
    <font>
      <name val="Meiryo"/>
      <b val="1"/>
      <color rgb="FFFFFFFF"/>
      <sz val="11"/>
    </font>
    <font>
      <name val="Meiryo"/>
      <color rgb="FFFFFFFF"/>
      <sz val="9"/>
    </font>
    <font>
      <name val="Meiryo"/>
      <sz val="10"/>
    </font>
    <font>
      <name val="Meiryo"/>
      <b val="1"/>
      <color rgb="FF1F4E79"/>
      <sz val="10"/>
    </font>
    <font>
      <name val="Meiryo"/>
      <b val="1"/>
      <sz val="10"/>
    </font>
    <font>
      <name val="Meiryo"/>
      <color rgb="FF1F4E79"/>
      <sz val="10"/>
    </font>
    <font>
      <name val="Meiryo"/>
      <i val="1"/>
      <color rgb="FF1F4E79"/>
      <sz val="10"/>
    </font>
    <font>
      <name val="Meiryo"/>
      <color rgb="FF808080"/>
      <sz val="9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D6EAF8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bottom style="thin">
        <color rgb="FFB4C6E7"/>
      </bottom>
    </border>
    <border>
      <bottom style="double">
        <color rgb="FF4472C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3" fillId="2" borderId="0" applyAlignment="1" pivotButton="0" quotePrefix="0" xfId="0">
      <alignment horizontal="center"/>
    </xf>
    <xf numFmtId="0" fontId="7" fillId="0" borderId="1" pivotButton="0" quotePrefix="0" xfId="0"/>
    <xf numFmtId="3" fontId="6" fillId="0" borderId="1" applyAlignment="1" pivotButton="0" quotePrefix="0" xfId="0">
      <alignment horizontal="right"/>
    </xf>
    <xf numFmtId="0" fontId="5" fillId="0" borderId="0" pivotButton="0" quotePrefix="0" xfId="0"/>
    <xf numFmtId="3" fontId="8" fillId="0" borderId="0" applyAlignment="1" pivotButton="0" quotePrefix="0" xfId="0">
      <alignment horizontal="right"/>
    </xf>
    <xf numFmtId="0" fontId="7" fillId="0" borderId="2" pivotButton="0" quotePrefix="0" xfId="0"/>
    <xf numFmtId="3" fontId="6" fillId="0" borderId="2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0" fontId="7" fillId="0" borderId="0" pivotButton="0" quotePrefix="0" xfId="0"/>
    <xf numFmtId="3" fontId="6" fillId="0" borderId="0" applyAlignment="1" pivotButton="0" quotePrefix="0" xfId="0">
      <alignment horizontal="right"/>
    </xf>
    <xf numFmtId="0" fontId="2" fillId="0" borderId="0" pivotButton="0" quotePrefix="0" xfId="0"/>
    <xf numFmtId="3" fontId="5" fillId="3" borderId="0" applyAlignment="1" pivotButton="0" quotePrefix="0" xfId="0">
      <alignment horizontal="right"/>
    </xf>
    <xf numFmtId="164" fontId="5" fillId="3" borderId="0" applyAlignment="1" pivotButton="0" quotePrefix="0" xfId="0">
      <alignment horizontal="right"/>
    </xf>
    <xf numFmtId="0" fontId="0" fillId="0" borderId="1" pivotButton="0" quotePrefix="0" xfId="0"/>
    <xf numFmtId="0" fontId="2" fillId="4" borderId="0" pivotButton="0" quotePrefix="0" xfId="0"/>
    <xf numFmtId="0" fontId="0" fillId="4" borderId="0" pivotButton="0" quotePrefix="0" xfId="0"/>
    <xf numFmtId="0" fontId="5" fillId="0" borderId="0" applyAlignment="1" pivotButton="0" quotePrefix="0" xfId="0">
      <alignment indent="1"/>
    </xf>
    <xf numFmtId="0" fontId="5" fillId="5" borderId="0" pivotButton="0" quotePrefix="0" xfId="0"/>
    <xf numFmtId="0" fontId="5" fillId="6" borderId="0" pivotButton="0" quotePrefix="0" xfId="0"/>
    <xf numFmtId="0" fontId="5" fillId="3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損益計算書（PL）</t>
        </is>
      </c>
    </row>
    <row r="2">
      <c r="A2" s="2" t="inlineStr">
        <is>
          <t>（単位：円）</t>
        </is>
      </c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 ht="6" customHeight="1"/>
    <row r="4">
      <c r="A4" s="4" t="inlineStr">
        <is>
          <t>売上高</t>
        </is>
      </c>
      <c r="B4" s="5">
        <f>'ミールモデル'!B10+'アカデミーモデル'!B10+'コンサルモデル'!B10</f>
        <v/>
      </c>
      <c r="C4" s="5">
        <f>'ミールモデル'!C10+'アカデミーモデル'!C10+'コンサルモデル'!C10</f>
        <v/>
      </c>
      <c r="D4" s="5">
        <f>'ミールモデル'!D10+'アカデミーモデル'!D10+'コンサルモデル'!D10</f>
        <v/>
      </c>
      <c r="E4" s="5">
        <f>'ミールモデル'!E10+'アカデミーモデル'!E10+'コンサルモデル'!E10</f>
        <v/>
      </c>
      <c r="F4" s="5">
        <f>'ミールモデル'!F10+'アカデミーモデル'!F10+'コンサルモデル'!F10</f>
        <v/>
      </c>
    </row>
    <row r="5">
      <c r="A5" s="6" t="inlineStr">
        <is>
          <t>売上原価</t>
        </is>
      </c>
      <c r="B5" s="7">
        <f>B4*0.3</f>
        <v/>
      </c>
      <c r="C5" s="7">
        <f>C4*0.3</f>
        <v/>
      </c>
      <c r="D5" s="7">
        <f>D4*0.3</f>
        <v/>
      </c>
      <c r="E5" s="7">
        <f>E4*0.3</f>
        <v/>
      </c>
      <c r="F5" s="7">
        <f>F4*0.3</f>
        <v/>
      </c>
    </row>
    <row r="6">
      <c r="A6" s="8" t="inlineStr">
        <is>
          <t>粗利</t>
        </is>
      </c>
      <c r="B6" s="9">
        <f>B4-B5</f>
        <v/>
      </c>
      <c r="C6" s="9">
        <f>C4-C5</f>
        <v/>
      </c>
      <c r="D6" s="9">
        <f>D4-D5</f>
        <v/>
      </c>
      <c r="E6" s="9">
        <f>E4-E5</f>
        <v/>
      </c>
      <c r="F6" s="9">
        <f>F4-F5</f>
        <v/>
      </c>
    </row>
    <row r="7">
      <c r="A7" s="6" t="inlineStr">
        <is>
          <t>粗利率</t>
        </is>
      </c>
      <c r="B7" s="10">
        <f>IF(B4=0,0,B6/B4)</f>
        <v/>
      </c>
      <c r="C7" s="10">
        <f>IF(C4=0,0,C6/C4)</f>
        <v/>
      </c>
      <c r="D7" s="10">
        <f>IF(D4=0,0,D6/D4)</f>
        <v/>
      </c>
      <c r="E7" s="10">
        <f>IF(E4=0,0,E6/E4)</f>
        <v/>
      </c>
      <c r="F7" s="10">
        <f>IF(F4=0,0,F6/F4)</f>
        <v/>
      </c>
    </row>
    <row r="8" ht="6" customHeight="1"/>
    <row r="9">
      <c r="A9" s="6" t="inlineStr">
        <is>
          <t>販管費合計</t>
        </is>
      </c>
      <c r="B9" s="7">
        <f>'費用まとめ'!B12</f>
        <v/>
      </c>
      <c r="C9" s="7">
        <f>'費用まとめ'!C12</f>
        <v/>
      </c>
      <c r="D9" s="7">
        <f>'費用まとめ'!D12</f>
        <v/>
      </c>
      <c r="E9" s="7">
        <f>'費用まとめ'!E12</f>
        <v/>
      </c>
      <c r="F9" s="7">
        <f>'費用まとめ'!F12</f>
        <v/>
      </c>
    </row>
    <row r="10">
      <c r="A10" s="8" t="inlineStr">
        <is>
          <t>営業利益</t>
        </is>
      </c>
      <c r="B10" s="9">
        <f>B6-B9</f>
        <v/>
      </c>
      <c r="C10" s="9">
        <f>C6-C9</f>
        <v/>
      </c>
      <c r="D10" s="9">
        <f>D6-D9</f>
        <v/>
      </c>
      <c r="E10" s="9">
        <f>E6-E9</f>
        <v/>
      </c>
      <c r="F10" s="9">
        <f>F6-F9</f>
        <v/>
      </c>
    </row>
    <row r="11">
      <c r="A11" s="6" t="inlineStr">
        <is>
          <t>営業利益率</t>
        </is>
      </c>
      <c r="B11" s="10">
        <f>IF(B4=0,0,B10/B4)</f>
        <v/>
      </c>
      <c r="C11" s="10">
        <f>IF(C4=0,0,C10/C4)</f>
        <v/>
      </c>
      <c r="D11" s="10">
        <f>IF(D4=0,0,D10/D4)</f>
        <v/>
      </c>
      <c r="E11" s="10">
        <f>IF(E4=0,0,E10/E4)</f>
        <v/>
      </c>
      <c r="F11" s="10">
        <f>IF(F4=0,0,F10/F4)</f>
        <v/>
      </c>
    </row>
    <row r="12" ht="6" customHeight="1"/>
    <row r="13">
      <c r="A13" s="11" t="inlineStr">
        <is>
          <t>EBITDA</t>
        </is>
      </c>
      <c r="B13" s="12">
        <f>B10+500000</f>
        <v/>
      </c>
      <c r="C13" s="12">
        <f>C10+500000</f>
        <v/>
      </c>
      <c r="D13" s="12">
        <f>D10+500000</f>
        <v/>
      </c>
      <c r="E13" s="12">
        <f>E10+500000</f>
        <v/>
      </c>
      <c r="F13" s="12">
        <f>F10+500000</f>
        <v/>
      </c>
    </row>
    <row r="14">
      <c r="A14" s="6" t="inlineStr">
        <is>
          <t>EBITDA率</t>
        </is>
      </c>
      <c r="B14" s="10">
        <f>IF(B4=0,0,B13/B4)</f>
        <v/>
      </c>
      <c r="C14" s="10">
        <f>IF(C4=0,0,C13/C4)</f>
        <v/>
      </c>
      <c r="D14" s="10">
        <f>IF(D4=0,0,D13/D4)</f>
        <v/>
      </c>
      <c r="E14" s="10">
        <f>IF(E4=0,0,E13/E4)</f>
        <v/>
      </c>
      <c r="F14" s="10">
        <f>IF(F4=0,0,F13/F4)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ミールモデル（ユニットエコノミクス）</t>
        </is>
      </c>
    </row>
    <row r="2">
      <c r="A2" s="13" t="inlineStr"/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>
      <c r="A3" s="6" t="inlineStr">
        <is>
          <t>顧客数</t>
        </is>
      </c>
      <c r="B3" s="14" t="n">
        <v>100</v>
      </c>
      <c r="C3" s="14" t="n">
        <v>200</v>
      </c>
      <c r="D3" s="14" t="n">
        <v>350</v>
      </c>
      <c r="E3" s="14" t="n">
        <v>500</v>
      </c>
      <c r="F3" s="14" t="n">
        <v>700</v>
      </c>
    </row>
    <row r="4">
      <c r="A4" s="6" t="inlineStr">
        <is>
          <t>客単価（円/月）</t>
        </is>
      </c>
      <c r="B4" s="14" t="n">
        <v>5000</v>
      </c>
      <c r="C4" s="14" t="n">
        <v>5000</v>
      </c>
      <c r="D4" s="14" t="n">
        <v>5000</v>
      </c>
      <c r="E4" s="14" t="n">
        <v>5000</v>
      </c>
      <c r="F4" s="14" t="n">
        <v>5000</v>
      </c>
    </row>
    <row r="5">
      <c r="A5" s="6" t="inlineStr">
        <is>
          <t>月間利用回数</t>
        </is>
      </c>
      <c r="B5" s="14" t="n">
        <v>4</v>
      </c>
      <c r="C5" s="14" t="n">
        <v>4</v>
      </c>
      <c r="D5" s="14" t="n">
        <v>4</v>
      </c>
      <c r="E5" s="14" t="n">
        <v>4</v>
      </c>
      <c r="F5" s="14" t="n">
        <v>4</v>
      </c>
    </row>
    <row r="6">
      <c r="A6" s="6" t="inlineStr">
        <is>
          <t>解約率（月次）</t>
        </is>
      </c>
      <c r="B6" s="15" t="n">
        <v>0.03</v>
      </c>
      <c r="C6" s="15" t="n">
        <v>0.03</v>
      </c>
      <c r="D6" s="15" t="n">
        <v>0.025</v>
      </c>
      <c r="E6" s="15" t="n">
        <v>0.025</v>
      </c>
      <c r="F6" s="15" t="n">
        <v>0.02</v>
      </c>
    </row>
    <row r="7">
      <c r="A7" s="6" t="inlineStr">
        <is>
          <t>月次売上</t>
        </is>
      </c>
      <c r="B7" s="7">
        <f>B3*B4</f>
        <v/>
      </c>
      <c r="C7" s="7">
        <f>C3*C4</f>
        <v/>
      </c>
      <c r="D7" s="7">
        <f>D3*D4</f>
        <v/>
      </c>
      <c r="E7" s="7">
        <f>E3*E4</f>
        <v/>
      </c>
      <c r="F7" s="7">
        <f>F3*F4</f>
        <v/>
      </c>
    </row>
    <row r="8">
      <c r="A8" s="8" t="inlineStr">
        <is>
          <t>年間売上</t>
        </is>
      </c>
      <c r="B8" s="9">
        <f>B7*12</f>
        <v/>
      </c>
      <c r="C8" s="9">
        <f>C7*12</f>
        <v/>
      </c>
      <c r="D8" s="9">
        <f>D7*12</f>
        <v/>
      </c>
      <c r="E8" s="9">
        <f>E7*12</f>
        <v/>
      </c>
      <c r="F8" s="9">
        <f>F7*12</f>
        <v/>
      </c>
    </row>
    <row r="9">
      <c r="A9" s="6" t="inlineStr">
        <is>
          <t>LTV</t>
        </is>
      </c>
      <c r="B9" s="7">
        <f>IF(B6=0,0,B4/B6)</f>
        <v/>
      </c>
      <c r="C9" s="7">
        <f>IF(C6=0,0,C4/C6)</f>
        <v/>
      </c>
      <c r="D9" s="7">
        <f>IF(D6=0,0,D4/D6)</f>
        <v/>
      </c>
      <c r="E9" s="7">
        <f>IF(E6=0,0,E4/E6)</f>
        <v/>
      </c>
      <c r="F9" s="7">
        <f>IF(F6=0,0,F4/F6)</f>
        <v/>
      </c>
    </row>
    <row r="10">
      <c r="A10" s="11" t="inlineStr">
        <is>
          <t>売上高</t>
        </is>
      </c>
      <c r="B10" s="12">
        <f>B8</f>
        <v/>
      </c>
      <c r="C10" s="12">
        <f>C8</f>
        <v/>
      </c>
      <c r="D10" s="12">
        <f>D8</f>
        <v/>
      </c>
      <c r="E10" s="12">
        <f>E8</f>
        <v/>
      </c>
      <c r="F10" s="12">
        <f>F8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アカデミーモデル（教育事業）</t>
        </is>
      </c>
    </row>
    <row r="2">
      <c r="A2" s="13" t="inlineStr"/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>
      <c r="A3" s="6" t="inlineStr">
        <is>
          <t>受講者数</t>
        </is>
      </c>
      <c r="B3" s="14" t="n">
        <v>30</v>
      </c>
      <c r="C3" s="14" t="n">
        <v>60</v>
      </c>
      <c r="D3" s="14" t="n">
        <v>100</v>
      </c>
      <c r="E3" s="14" t="n">
        <v>160</v>
      </c>
      <c r="F3" s="14" t="n">
        <v>250</v>
      </c>
    </row>
    <row r="4">
      <c r="A4" s="6" t="inlineStr">
        <is>
          <t>講座単価</t>
        </is>
      </c>
      <c r="B4" s="14" t="n">
        <v>30000</v>
      </c>
      <c r="C4" s="14" t="n">
        <v>30000</v>
      </c>
      <c r="D4" s="14" t="n">
        <v>32000</v>
      </c>
      <c r="E4" s="14" t="n">
        <v>32000</v>
      </c>
      <c r="F4" s="14" t="n">
        <v>35000</v>
      </c>
    </row>
    <row r="5">
      <c r="A5" s="6" t="inlineStr">
        <is>
          <t>開催回数/月</t>
        </is>
      </c>
      <c r="B5" s="14" t="n">
        <v>2</v>
      </c>
      <c r="C5" s="14" t="n">
        <v>2</v>
      </c>
      <c r="D5" s="14" t="n">
        <v>3</v>
      </c>
      <c r="E5" s="14" t="n">
        <v>3</v>
      </c>
      <c r="F5" s="14" t="n">
        <v>4</v>
      </c>
    </row>
    <row r="6">
      <c r="A6" s="6" t="inlineStr">
        <is>
          <t>コンテンツ数</t>
        </is>
      </c>
      <c r="B6" s="14" t="n">
        <v>5</v>
      </c>
      <c r="C6" s="14" t="n">
        <v>10</v>
      </c>
      <c r="D6" s="14" t="n">
        <v>18</v>
      </c>
      <c r="E6" s="14" t="n">
        <v>25</v>
      </c>
      <c r="F6" s="14" t="n">
        <v>35</v>
      </c>
    </row>
    <row r="7">
      <c r="A7" s="6" t="inlineStr">
        <is>
          <t>月次売上</t>
        </is>
      </c>
      <c r="B7" s="7">
        <f>B3*B4</f>
        <v/>
      </c>
      <c r="C7" s="7">
        <f>C3*C4</f>
        <v/>
      </c>
      <c r="D7" s="7">
        <f>D3*D4</f>
        <v/>
      </c>
      <c r="E7" s="7">
        <f>E3*E4</f>
        <v/>
      </c>
      <c r="F7" s="7">
        <f>F3*F4</f>
        <v/>
      </c>
    </row>
    <row r="8">
      <c r="A8" s="8" t="inlineStr">
        <is>
          <t>年間売上</t>
        </is>
      </c>
      <c r="B8" s="9">
        <f>B7*12</f>
        <v/>
      </c>
      <c r="C8" s="9">
        <f>C7*12</f>
        <v/>
      </c>
      <c r="D8" s="9">
        <f>D7*12</f>
        <v/>
      </c>
      <c r="E8" s="9">
        <f>E7*12</f>
        <v/>
      </c>
      <c r="F8" s="9">
        <f>F7*12</f>
        <v/>
      </c>
    </row>
    <row r="10">
      <c r="A10" s="11" t="inlineStr">
        <is>
          <t>売上高</t>
        </is>
      </c>
      <c r="B10" s="12">
        <f>B8</f>
        <v/>
      </c>
      <c r="C10" s="12">
        <f>C8</f>
        <v/>
      </c>
      <c r="D10" s="12">
        <f>D8</f>
        <v/>
      </c>
      <c r="E10" s="12">
        <f>E8</f>
        <v/>
      </c>
      <c r="F10" s="12">
        <f>F8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コンサルモデル（フライホイール）</t>
        </is>
      </c>
    </row>
    <row r="2">
      <c r="A2" s="13" t="inlineStr"/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>
      <c r="A3" s="6" t="inlineStr">
        <is>
          <t>コンサルタント数</t>
        </is>
      </c>
      <c r="B3" s="14" t="n">
        <v>3</v>
      </c>
      <c r="C3" s="14" t="n">
        <v>5</v>
      </c>
      <c r="D3" s="14" t="n">
        <v>8</v>
      </c>
      <c r="E3" s="14" t="n">
        <v>12</v>
      </c>
      <c r="F3" s="14" t="n">
        <v>18</v>
      </c>
    </row>
    <row r="4">
      <c r="A4" s="6" t="inlineStr">
        <is>
          <t>月間案件数/人</t>
        </is>
      </c>
      <c r="B4" s="14" t="n">
        <v>2</v>
      </c>
      <c r="C4" s="14" t="n">
        <v>2</v>
      </c>
      <c r="D4" s="14" t="n">
        <v>3</v>
      </c>
      <c r="E4" s="14" t="n">
        <v>3</v>
      </c>
      <c r="F4" s="14" t="n">
        <v>3</v>
      </c>
    </row>
    <row r="5">
      <c r="A5" s="6" t="inlineStr">
        <is>
          <t>案件単価</t>
        </is>
      </c>
      <c r="B5" s="14" t="n">
        <v>500000</v>
      </c>
      <c r="C5" s="14" t="n">
        <v>500000</v>
      </c>
      <c r="D5" s="14" t="n">
        <v>600000</v>
      </c>
      <c r="E5" s="14" t="n">
        <v>600000</v>
      </c>
      <c r="F5" s="14" t="n">
        <v>700000</v>
      </c>
    </row>
    <row r="6">
      <c r="A6" s="6" t="inlineStr">
        <is>
          <t>稼働率</t>
        </is>
      </c>
      <c r="B6" s="15" t="n">
        <v>0.7</v>
      </c>
      <c r="C6" s="15" t="n">
        <v>0.75</v>
      </c>
      <c r="D6" s="15" t="n">
        <v>0.8</v>
      </c>
      <c r="E6" s="15" t="n">
        <v>0.85</v>
      </c>
      <c r="F6" s="15" t="n">
        <v>0.85</v>
      </c>
    </row>
    <row r="7">
      <c r="A7" s="6" t="inlineStr">
        <is>
          <t>月次売上</t>
        </is>
      </c>
      <c r="B7" s="7">
        <f>B3*B4*B5*B6</f>
        <v/>
      </c>
      <c r="C7" s="7">
        <f>C3*C4*C5*C6</f>
        <v/>
      </c>
      <c r="D7" s="7">
        <f>D3*D4*D5*D6</f>
        <v/>
      </c>
      <c r="E7" s="7">
        <f>E3*E4*E5*E6</f>
        <v/>
      </c>
      <c r="F7" s="7">
        <f>F3*F4*F5*F6</f>
        <v/>
      </c>
    </row>
    <row r="8">
      <c r="A8" s="8" t="inlineStr">
        <is>
          <t>年間売上</t>
        </is>
      </c>
      <c r="B8" s="9">
        <f>B7*12</f>
        <v/>
      </c>
      <c r="C8" s="9">
        <f>C7*12</f>
        <v/>
      </c>
      <c r="D8" s="9">
        <f>D7*12</f>
        <v/>
      </c>
      <c r="E8" s="9">
        <f>E7*12</f>
        <v/>
      </c>
      <c r="F8" s="9">
        <f>F7*12</f>
        <v/>
      </c>
    </row>
    <row r="10">
      <c r="A10" s="11" t="inlineStr">
        <is>
          <t>売上高</t>
        </is>
      </c>
      <c r="B10" s="12">
        <f>B8</f>
        <v/>
      </c>
      <c r="C10" s="12">
        <f>C8</f>
        <v/>
      </c>
      <c r="D10" s="12">
        <f>D8</f>
        <v/>
      </c>
      <c r="E10" s="12">
        <f>E8</f>
        <v/>
      </c>
      <c r="F10" s="12">
        <f>F8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費用まとめ（SGA）</t>
        </is>
      </c>
    </row>
    <row r="2">
      <c r="A2" s="13" t="inlineStr"/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 ht="6" customHeight="1"/>
    <row r="4">
      <c r="A4" s="6" t="inlineStr">
        <is>
          <t>人件費合計</t>
        </is>
      </c>
      <c r="B4" s="7">
        <f>'費用リスト'!B8</f>
        <v/>
      </c>
      <c r="C4" s="7">
        <f>'費用リスト'!C8</f>
        <v/>
      </c>
      <c r="D4" s="7">
        <f>'費用リスト'!D8</f>
        <v/>
      </c>
      <c r="E4" s="7">
        <f>'費用リスト'!E8</f>
        <v/>
      </c>
      <c r="F4" s="7">
        <f>'費用リスト'!F8</f>
        <v/>
      </c>
    </row>
    <row r="5">
      <c r="A5" s="6" t="inlineStr">
        <is>
          <t>オフィス費</t>
        </is>
      </c>
      <c r="B5" s="7">
        <f>'費用リスト'!B13</f>
        <v/>
      </c>
      <c r="C5" s="7">
        <f>'費用リスト'!C13</f>
        <v/>
      </c>
      <c r="D5" s="7">
        <f>'費用リスト'!D13</f>
        <v/>
      </c>
      <c r="E5" s="7">
        <f>'費用リスト'!E13</f>
        <v/>
      </c>
      <c r="F5" s="7">
        <f>'費用リスト'!F13</f>
        <v/>
      </c>
    </row>
    <row r="6">
      <c r="A6" s="6" t="inlineStr">
        <is>
          <t>マーケティング費</t>
        </is>
      </c>
      <c r="B6" s="7">
        <f>'費用リスト'!B18</f>
        <v/>
      </c>
      <c r="C6" s="7">
        <f>'費用リスト'!C18</f>
        <v/>
      </c>
      <c r="D6" s="7">
        <f>'費用リスト'!D18</f>
        <v/>
      </c>
      <c r="E6" s="7">
        <f>'費用リスト'!E18</f>
        <v/>
      </c>
      <c r="F6" s="7">
        <f>'費用リスト'!F18</f>
        <v/>
      </c>
    </row>
    <row r="7">
      <c r="A7" s="6" t="inlineStr">
        <is>
          <t>システム費</t>
        </is>
      </c>
      <c r="B7" s="7">
        <f>'費用リスト'!B23</f>
        <v/>
      </c>
      <c r="C7" s="7">
        <f>'費用リスト'!C23</f>
        <v/>
      </c>
      <c r="D7" s="7">
        <f>'費用リスト'!D23</f>
        <v/>
      </c>
      <c r="E7" s="7">
        <f>'費用リスト'!E23</f>
        <v/>
      </c>
      <c r="F7" s="7">
        <f>'費用リスト'!F23</f>
        <v/>
      </c>
    </row>
    <row r="8">
      <c r="A8" s="6" t="inlineStr">
        <is>
          <t>その他</t>
        </is>
      </c>
      <c r="B8" s="7">
        <f>'費用リスト'!B27</f>
        <v/>
      </c>
      <c r="C8" s="7">
        <f>'費用リスト'!C27</f>
        <v/>
      </c>
      <c r="D8" s="7">
        <f>'費用リスト'!D27</f>
        <v/>
      </c>
      <c r="E8" s="7">
        <f>'費用リスト'!E27</f>
        <v/>
      </c>
      <c r="F8" s="7">
        <f>'費用リスト'!F27</f>
        <v/>
      </c>
    </row>
    <row r="9" ht="6" customHeight="1">
      <c r="A9" s="16" t="n"/>
      <c r="B9" s="16" t="n"/>
      <c r="C9" s="16" t="n"/>
      <c r="D9" s="16" t="n"/>
      <c r="E9" s="16" t="n"/>
      <c r="F9" s="16" t="n"/>
    </row>
    <row r="10">
      <c r="A10" s="11" t="inlineStr">
        <is>
          <t>販管費小計</t>
        </is>
      </c>
      <c r="B10" s="12">
        <f>SUM(B4:B8)</f>
        <v/>
      </c>
      <c r="C10" s="12">
        <f>SUM(C4:C8)</f>
        <v/>
      </c>
      <c r="D10" s="12">
        <f>SUM(D4:D8)</f>
        <v/>
      </c>
      <c r="E10" s="12">
        <f>SUM(E4:E8)</f>
        <v/>
      </c>
      <c r="F10" s="12">
        <f>SUM(F4:F8)</f>
        <v/>
      </c>
    </row>
    <row r="11">
      <c r="A11" s="6" t="inlineStr">
        <is>
          <t>予備費（5%）</t>
        </is>
      </c>
      <c r="B11" s="7">
        <f>B10*0.05</f>
        <v/>
      </c>
      <c r="C11" s="7">
        <f>C10*0.05</f>
        <v/>
      </c>
      <c r="D11" s="7">
        <f>D10*0.05</f>
        <v/>
      </c>
      <c r="E11" s="7">
        <f>E10*0.05</f>
        <v/>
      </c>
      <c r="F11" s="7">
        <f>F10*0.05</f>
        <v/>
      </c>
    </row>
    <row r="12">
      <c r="A12" s="8" t="inlineStr">
        <is>
          <t>販管費合計</t>
        </is>
      </c>
      <c r="B12" s="9">
        <f>B10+B11</f>
        <v/>
      </c>
      <c r="C12" s="9">
        <f>C10+C11</f>
        <v/>
      </c>
      <c r="D12" s="9">
        <f>D10+D11</f>
        <v/>
      </c>
      <c r="E12" s="9">
        <f>E10+E11</f>
        <v/>
      </c>
      <c r="F12" s="9">
        <f>F10+F11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費用リスト（詳細）</t>
        </is>
      </c>
    </row>
    <row r="2">
      <c r="A2" s="13" t="inlineStr"/>
      <c r="B2" s="3" t="inlineStr">
        <is>
          <t>FY25</t>
        </is>
      </c>
      <c r="C2" s="3" t="inlineStr">
        <is>
          <t>FY26</t>
        </is>
      </c>
      <c r="D2" s="3" t="inlineStr">
        <is>
          <t>FY27</t>
        </is>
      </c>
      <c r="E2" s="3" t="inlineStr">
        <is>
          <t>FY28</t>
        </is>
      </c>
      <c r="F2" s="3" t="inlineStr">
        <is>
          <t>FY29</t>
        </is>
      </c>
    </row>
    <row r="3">
      <c r="A3" s="17" t="inlineStr">
        <is>
          <t>【人件費】</t>
        </is>
      </c>
      <c r="B3" s="18" t="n"/>
      <c r="C3" s="18" t="n"/>
      <c r="D3" s="18" t="n"/>
      <c r="E3" s="18" t="n"/>
      <c r="F3" s="18" t="n"/>
    </row>
    <row r="4">
      <c r="A4" s="19" t="inlineStr">
        <is>
          <t>役員報酬</t>
        </is>
      </c>
      <c r="B4" s="14" t="n">
        <v>6000000</v>
      </c>
      <c r="C4" s="14" t="n">
        <v>7200000</v>
      </c>
      <c r="D4" s="14" t="n">
        <v>8400000</v>
      </c>
      <c r="E4" s="14" t="n">
        <v>9600000</v>
      </c>
      <c r="F4" s="14" t="n">
        <v>12000000</v>
      </c>
    </row>
    <row r="5">
      <c r="A5" s="19" t="inlineStr">
        <is>
          <t>エンジニア人件費</t>
        </is>
      </c>
      <c r="B5" s="14" t="n">
        <v>4800000</v>
      </c>
      <c r="C5" s="14" t="n">
        <v>9600000</v>
      </c>
      <c r="D5" s="14" t="n">
        <v>16800000</v>
      </c>
      <c r="E5" s="14" t="n">
        <v>24000000</v>
      </c>
      <c r="F5" s="14" t="n">
        <v>33600000</v>
      </c>
    </row>
    <row r="6">
      <c r="A6" s="19" t="inlineStr">
        <is>
          <t>営業人件費</t>
        </is>
      </c>
      <c r="B6" s="14" t="n">
        <v>3600000</v>
      </c>
      <c r="C6" s="14" t="n">
        <v>7200000</v>
      </c>
      <c r="D6" s="14" t="n">
        <v>10800000</v>
      </c>
      <c r="E6" s="14" t="n">
        <v>14400000</v>
      </c>
      <c r="F6" s="14" t="n">
        <v>21600000</v>
      </c>
    </row>
    <row r="7">
      <c r="A7" s="19" t="inlineStr">
        <is>
          <t>その他人件費</t>
        </is>
      </c>
      <c r="B7" s="14" t="n">
        <v>1200000</v>
      </c>
      <c r="C7" s="14" t="n">
        <v>2400000</v>
      </c>
      <c r="D7" s="14" t="n">
        <v>3600000</v>
      </c>
      <c r="E7" s="14" t="n">
        <v>4800000</v>
      </c>
      <c r="F7" s="14" t="n">
        <v>7200000</v>
      </c>
    </row>
    <row r="8">
      <c r="A8" s="4" t="inlineStr">
        <is>
          <t>人件費小計</t>
        </is>
      </c>
      <c r="B8" s="5">
        <f>SUM(B4:B7)</f>
        <v/>
      </c>
      <c r="C8" s="5">
        <f>SUM(C4:C7)</f>
        <v/>
      </c>
      <c r="D8" s="5">
        <f>SUM(D4:D7)</f>
        <v/>
      </c>
      <c r="E8" s="5">
        <f>SUM(E4:E7)</f>
        <v/>
      </c>
      <c r="F8" s="5">
        <f>SUM(F4:F7)</f>
        <v/>
      </c>
    </row>
    <row r="9">
      <c r="A9" s="17" t="inlineStr">
        <is>
          <t>【オフィス】</t>
        </is>
      </c>
      <c r="B9" s="18" t="n"/>
      <c r="C9" s="18" t="n"/>
      <c r="D9" s="18" t="n"/>
      <c r="E9" s="18" t="n"/>
      <c r="F9" s="18" t="n"/>
    </row>
    <row r="10">
      <c r="A10" s="19" t="inlineStr">
        <is>
          <t>家賃</t>
        </is>
      </c>
      <c r="B10" s="14" t="n">
        <v>1200000</v>
      </c>
      <c r="C10" s="14" t="n">
        <v>1200000</v>
      </c>
      <c r="D10" s="14" t="n">
        <v>2400000</v>
      </c>
      <c r="E10" s="14" t="n">
        <v>2400000</v>
      </c>
      <c r="F10" s="14" t="n">
        <v>3600000</v>
      </c>
    </row>
    <row r="11">
      <c r="A11" s="19" t="inlineStr">
        <is>
          <t>光熱費</t>
        </is>
      </c>
      <c r="B11" s="14" t="n">
        <v>120000</v>
      </c>
      <c r="C11" s="14" t="n">
        <v>144000</v>
      </c>
      <c r="D11" s="14" t="n">
        <v>240000</v>
      </c>
      <c r="E11" s="14" t="n">
        <v>288000</v>
      </c>
      <c r="F11" s="14" t="n">
        <v>360000</v>
      </c>
    </row>
    <row r="12">
      <c r="A12" s="19" t="inlineStr">
        <is>
          <t>備品・消耗品</t>
        </is>
      </c>
      <c r="B12" s="14" t="n">
        <v>180000</v>
      </c>
      <c r="C12" s="14" t="n">
        <v>240000</v>
      </c>
      <c r="D12" s="14" t="n">
        <v>360000</v>
      </c>
      <c r="E12" s="14" t="n">
        <v>480000</v>
      </c>
      <c r="F12" s="14" t="n">
        <v>600000</v>
      </c>
    </row>
    <row r="13">
      <c r="A13" s="4" t="inlineStr">
        <is>
          <t>オフィス小計</t>
        </is>
      </c>
      <c r="B13" s="5">
        <f>SUM(B10:B12)</f>
        <v/>
      </c>
      <c r="C13" s="5">
        <f>SUM(C10:C12)</f>
        <v/>
      </c>
      <c r="D13" s="5">
        <f>SUM(D10:D12)</f>
        <v/>
      </c>
      <c r="E13" s="5">
        <f>SUM(E10:E12)</f>
        <v/>
      </c>
      <c r="F13" s="5">
        <f>SUM(F10:F12)</f>
        <v/>
      </c>
    </row>
    <row r="14">
      <c r="A14" s="17" t="inlineStr">
        <is>
          <t>【マーケティング】</t>
        </is>
      </c>
      <c r="B14" s="18" t="n"/>
      <c r="C14" s="18" t="n"/>
      <c r="D14" s="18" t="n"/>
      <c r="E14" s="18" t="n"/>
      <c r="F14" s="18" t="n"/>
    </row>
    <row r="15">
      <c r="A15" s="19" t="inlineStr">
        <is>
          <t>広告費</t>
        </is>
      </c>
      <c r="B15" s="14" t="n">
        <v>600000</v>
      </c>
      <c r="C15" s="14" t="n">
        <v>1200000</v>
      </c>
      <c r="D15" s="14" t="n">
        <v>2400000</v>
      </c>
      <c r="E15" s="14" t="n">
        <v>3600000</v>
      </c>
      <c r="F15" s="14" t="n">
        <v>4800000</v>
      </c>
    </row>
    <row r="16">
      <c r="A16" s="19" t="inlineStr">
        <is>
          <t>PR費</t>
        </is>
      </c>
      <c r="B16" s="14" t="n">
        <v>240000</v>
      </c>
      <c r="C16" s="14" t="n">
        <v>480000</v>
      </c>
      <c r="D16" s="14" t="n">
        <v>720000</v>
      </c>
      <c r="E16" s="14" t="n">
        <v>960000</v>
      </c>
      <c r="F16" s="14" t="n">
        <v>1200000</v>
      </c>
    </row>
    <row r="17">
      <c r="A17" s="19" t="inlineStr">
        <is>
          <t>イベント費</t>
        </is>
      </c>
      <c r="B17" s="14" t="n">
        <v>120000</v>
      </c>
      <c r="C17" s="14" t="n">
        <v>240000</v>
      </c>
      <c r="D17" s="14" t="n">
        <v>480000</v>
      </c>
      <c r="E17" s="14" t="n">
        <v>720000</v>
      </c>
      <c r="F17" s="14" t="n">
        <v>960000</v>
      </c>
    </row>
    <row r="18">
      <c r="A18" s="4" t="inlineStr">
        <is>
          <t>マーケティング小計</t>
        </is>
      </c>
      <c r="B18" s="5">
        <f>SUM(B15:B17)</f>
        <v/>
      </c>
      <c r="C18" s="5">
        <f>SUM(C15:C17)</f>
        <v/>
      </c>
      <c r="D18" s="5">
        <f>SUM(D15:D17)</f>
        <v/>
      </c>
      <c r="E18" s="5">
        <f>SUM(E15:E17)</f>
        <v/>
      </c>
      <c r="F18" s="5">
        <f>SUM(F15:F17)</f>
        <v/>
      </c>
    </row>
    <row r="19">
      <c r="A19" s="17" t="inlineStr">
        <is>
          <t>【システム】</t>
        </is>
      </c>
      <c r="B19" s="18" t="n"/>
      <c r="C19" s="18" t="n"/>
      <c r="D19" s="18" t="n"/>
      <c r="E19" s="18" t="n"/>
      <c r="F19" s="18" t="n"/>
    </row>
    <row r="20">
      <c r="A20" s="19" t="inlineStr">
        <is>
          <t>サーバー費</t>
        </is>
      </c>
      <c r="B20" s="14" t="n">
        <v>360000</v>
      </c>
      <c r="C20" s="14" t="n">
        <v>600000</v>
      </c>
      <c r="D20" s="14" t="n">
        <v>960000</v>
      </c>
      <c r="E20" s="14" t="n">
        <v>1440000</v>
      </c>
      <c r="F20" s="14" t="n">
        <v>1800000</v>
      </c>
    </row>
    <row r="21">
      <c r="A21" s="19" t="inlineStr">
        <is>
          <t>ツール費</t>
        </is>
      </c>
      <c r="B21" s="14" t="n">
        <v>240000</v>
      </c>
      <c r="C21" s="14" t="n">
        <v>360000</v>
      </c>
      <c r="D21" s="14" t="n">
        <v>480000</v>
      </c>
      <c r="E21" s="14" t="n">
        <v>720000</v>
      </c>
      <c r="F21" s="14" t="n">
        <v>960000</v>
      </c>
    </row>
    <row r="22">
      <c r="A22" s="19" t="inlineStr">
        <is>
          <t>外注開発費</t>
        </is>
      </c>
      <c r="B22" s="14" t="n">
        <v>600000</v>
      </c>
      <c r="C22" s="14" t="n">
        <v>1200000</v>
      </c>
      <c r="D22" s="14" t="n">
        <v>1800000</v>
      </c>
      <c r="E22" s="14" t="n">
        <v>2400000</v>
      </c>
      <c r="F22" s="14" t="n">
        <v>3000000</v>
      </c>
    </row>
    <row r="23">
      <c r="A23" s="4" t="inlineStr">
        <is>
          <t>システム小計</t>
        </is>
      </c>
      <c r="B23" s="5">
        <f>SUM(B20:B22)</f>
        <v/>
      </c>
      <c r="C23" s="5">
        <f>SUM(C20:C22)</f>
        <v/>
      </c>
      <c r="D23" s="5">
        <f>SUM(D20:D22)</f>
        <v/>
      </c>
      <c r="E23" s="5">
        <f>SUM(E20:E22)</f>
        <v/>
      </c>
      <c r="F23" s="5">
        <f>SUM(F20:F22)</f>
        <v/>
      </c>
    </row>
    <row r="24">
      <c r="A24" s="17" t="inlineStr">
        <is>
          <t>【その他】</t>
        </is>
      </c>
      <c r="B24" s="18" t="n"/>
      <c r="C24" s="18" t="n"/>
      <c r="D24" s="18" t="n"/>
      <c r="E24" s="18" t="n"/>
      <c r="F24" s="18" t="n"/>
    </row>
    <row r="25">
      <c r="A25" s="19" t="inlineStr">
        <is>
          <t>交通費</t>
        </is>
      </c>
      <c r="B25" s="14" t="n">
        <v>180000</v>
      </c>
      <c r="C25" s="14" t="n">
        <v>360000</v>
      </c>
      <c r="D25" s="14" t="n">
        <v>540000</v>
      </c>
      <c r="E25" s="14" t="n">
        <v>720000</v>
      </c>
      <c r="F25" s="14" t="n">
        <v>960000</v>
      </c>
    </row>
    <row r="26">
      <c r="A26" s="19" t="inlineStr">
        <is>
          <t>顧問・士業費</t>
        </is>
      </c>
      <c r="B26" s="14" t="n">
        <v>600000</v>
      </c>
      <c r="C26" s="14" t="n">
        <v>600000</v>
      </c>
      <c r="D26" s="14" t="n">
        <v>900000</v>
      </c>
      <c r="E26" s="14" t="n">
        <v>1200000</v>
      </c>
      <c r="F26" s="14" t="n">
        <v>1500000</v>
      </c>
    </row>
    <row r="27">
      <c r="A27" s="8" t="inlineStr">
        <is>
          <t>その他小計</t>
        </is>
      </c>
      <c r="B27" s="9">
        <f>SUM(B25:B26)</f>
        <v/>
      </c>
      <c r="C27" s="9">
        <f>SUM(C25:C26)</f>
        <v/>
      </c>
      <c r="D27" s="9">
        <f>SUM(D25:D26)</f>
        <v/>
      </c>
      <c r="E27" s="9">
        <f>SUM(E25:E26)</f>
        <v/>
      </c>
      <c r="F27" s="9">
        <f>SUM(F25:F26)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 ht="30" customHeight="1">
      <c r="A1" s="1" t="inlineStr">
        <is>
          <t>費用タグ（カテゴリ分類）</t>
        </is>
      </c>
    </row>
    <row r="2">
      <c r="A2" s="3" t="inlineStr">
        <is>
          <t>費用項目</t>
        </is>
      </c>
      <c r="B2" s="3" t="inlineStr">
        <is>
          <t>カテゴリ</t>
        </is>
      </c>
      <c r="C2" s="3" t="inlineStr">
        <is>
          <t>タグ</t>
        </is>
      </c>
    </row>
    <row r="3">
      <c r="A3" s="6" t="inlineStr">
        <is>
          <t>役員報酬</t>
        </is>
      </c>
      <c r="B3" s="6" t="inlineStr">
        <is>
          <t>人件費</t>
        </is>
      </c>
      <c r="C3" s="20" t="inlineStr">
        <is>
          <t>固定費</t>
        </is>
      </c>
    </row>
    <row r="4">
      <c r="A4" s="6" t="inlineStr">
        <is>
          <t>エンジニア人件費</t>
        </is>
      </c>
      <c r="B4" s="6" t="inlineStr">
        <is>
          <t>人件費</t>
        </is>
      </c>
      <c r="C4" s="20" t="inlineStr">
        <is>
          <t>固定費</t>
        </is>
      </c>
    </row>
    <row r="5">
      <c r="A5" s="6" t="inlineStr">
        <is>
          <t>営業人件費</t>
        </is>
      </c>
      <c r="B5" s="6" t="inlineStr">
        <is>
          <t>人件費</t>
        </is>
      </c>
      <c r="C5" s="20" t="inlineStr">
        <is>
          <t>固定費</t>
        </is>
      </c>
    </row>
    <row r="6">
      <c r="A6" s="6" t="inlineStr">
        <is>
          <t>その他人件費</t>
        </is>
      </c>
      <c r="B6" s="6" t="inlineStr">
        <is>
          <t>人件費</t>
        </is>
      </c>
      <c r="C6" s="20" t="inlineStr">
        <is>
          <t>固定費</t>
        </is>
      </c>
    </row>
    <row r="7">
      <c r="A7" s="6" t="inlineStr">
        <is>
          <t>家賃</t>
        </is>
      </c>
      <c r="B7" s="6" t="inlineStr">
        <is>
          <t>オフィス</t>
        </is>
      </c>
      <c r="C7" s="20" t="inlineStr">
        <is>
          <t>固定費</t>
        </is>
      </c>
    </row>
    <row r="8">
      <c r="A8" s="6" t="inlineStr">
        <is>
          <t>光熱費</t>
        </is>
      </c>
      <c r="B8" s="6" t="inlineStr">
        <is>
          <t>オフィス</t>
        </is>
      </c>
      <c r="C8" s="20" t="inlineStr">
        <is>
          <t>固定費</t>
        </is>
      </c>
    </row>
    <row r="9">
      <c r="A9" s="6" t="inlineStr">
        <is>
          <t>備品・消耗品</t>
        </is>
      </c>
      <c r="B9" s="6" t="inlineStr">
        <is>
          <t>オフィス</t>
        </is>
      </c>
      <c r="C9" s="21" t="inlineStr">
        <is>
          <t>変動費</t>
        </is>
      </c>
    </row>
    <row r="10">
      <c r="A10" s="6" t="inlineStr">
        <is>
          <t>広告費</t>
        </is>
      </c>
      <c r="B10" s="6" t="inlineStr">
        <is>
          <t>マーケティング</t>
        </is>
      </c>
      <c r="C10" s="21" t="inlineStr">
        <is>
          <t>変動費</t>
        </is>
      </c>
    </row>
    <row r="11">
      <c r="A11" s="6" t="inlineStr">
        <is>
          <t>PR費</t>
        </is>
      </c>
      <c r="B11" s="6" t="inlineStr">
        <is>
          <t>マーケティング</t>
        </is>
      </c>
      <c r="C11" s="21" t="inlineStr">
        <is>
          <t>変動費</t>
        </is>
      </c>
    </row>
    <row r="12">
      <c r="A12" s="6" t="inlineStr">
        <is>
          <t>イベント費</t>
        </is>
      </c>
      <c r="B12" s="6" t="inlineStr">
        <is>
          <t>マーケティング</t>
        </is>
      </c>
      <c r="C12" s="21" t="inlineStr">
        <is>
          <t>変動費</t>
        </is>
      </c>
    </row>
    <row r="13">
      <c r="A13" s="6" t="inlineStr">
        <is>
          <t>サーバー費</t>
        </is>
      </c>
      <c r="B13" s="6" t="inlineStr">
        <is>
          <t>システム</t>
        </is>
      </c>
      <c r="C13" s="21" t="inlineStr">
        <is>
          <t>変動費</t>
        </is>
      </c>
    </row>
    <row r="14">
      <c r="A14" s="6" t="inlineStr">
        <is>
          <t>ツール費</t>
        </is>
      </c>
      <c r="B14" s="6" t="inlineStr">
        <is>
          <t>システム</t>
        </is>
      </c>
      <c r="C14" s="20" t="inlineStr">
        <is>
          <t>固定費</t>
        </is>
      </c>
    </row>
    <row r="15">
      <c r="A15" s="6" t="inlineStr">
        <is>
          <t>外注開発費</t>
        </is>
      </c>
      <c r="B15" s="6" t="inlineStr">
        <is>
          <t>システム</t>
        </is>
      </c>
      <c r="C15" s="21" t="inlineStr">
        <is>
          <t>変動費</t>
        </is>
      </c>
    </row>
    <row r="16">
      <c r="A16" s="6" t="inlineStr">
        <is>
          <t>交通費</t>
        </is>
      </c>
      <c r="B16" s="6" t="inlineStr">
        <is>
          <t>その他</t>
        </is>
      </c>
      <c r="C16" s="21" t="inlineStr">
        <is>
          <t>変動費</t>
        </is>
      </c>
    </row>
    <row r="17">
      <c r="A17" s="6" t="inlineStr">
        <is>
          <t>顧問・士業費</t>
        </is>
      </c>
      <c r="B17" s="6" t="inlineStr">
        <is>
          <t>その他</t>
        </is>
      </c>
      <c r="C17" s="20" t="inlineStr">
        <is>
          <t>固定費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 ht="30" customHeight="1">
      <c r="A1" s="1" t="inlineStr">
        <is>
          <t>前提条件・マクロ仮定</t>
        </is>
      </c>
    </row>
    <row r="2">
      <c r="A2" s="3" t="inlineStr">
        <is>
          <t>項目</t>
        </is>
      </c>
      <c r="B2" s="3" t="inlineStr">
        <is>
          <t>値</t>
        </is>
      </c>
      <c r="C2" s="3" t="inlineStr">
        <is>
          <t>備考</t>
        </is>
      </c>
    </row>
    <row r="3">
      <c r="A3" s="6" t="inlineStr">
        <is>
          <t>市場規模（TAM）</t>
        </is>
      </c>
      <c r="B3" s="22" t="inlineStr">
        <is>
          <t>500億円</t>
        </is>
      </c>
      <c r="C3" s="23" t="inlineStr">
        <is>
          <t>ヘルスケア×教育市場</t>
        </is>
      </c>
    </row>
    <row r="4">
      <c r="A4" s="6" t="inlineStr">
        <is>
          <t>市場成長率（年率）</t>
        </is>
      </c>
      <c r="B4" s="22" t="inlineStr">
        <is>
          <t>15%</t>
        </is>
      </c>
      <c r="C4" s="23" t="inlineStr">
        <is>
          <t>業界レポート参照</t>
        </is>
      </c>
    </row>
    <row r="5">
      <c r="A5" s="6" t="inlineStr">
        <is>
          <t>ターゲットシェア（5年後）</t>
        </is>
      </c>
      <c r="B5" s="22" t="inlineStr">
        <is>
          <t>0.5%</t>
        </is>
      </c>
      <c r="C5" s="23" t="inlineStr">
        <is>
          <t>保守的見積もり</t>
        </is>
      </c>
    </row>
    <row r="6">
      <c r="A6" s="6" t="inlineStr">
        <is>
          <t>顧客獲得コスト（CAC）</t>
        </is>
      </c>
      <c r="B6" s="22" t="inlineStr">
        <is>
          <t>15,000円</t>
        </is>
      </c>
      <c r="C6" s="23" t="inlineStr">
        <is>
          <t>広告・営業含む</t>
        </is>
      </c>
    </row>
    <row r="7">
      <c r="A7" s="6" t="inlineStr">
        <is>
          <t>平均契約期間</t>
        </is>
      </c>
      <c r="B7" s="22" t="inlineStr">
        <is>
          <t>18ヶ月</t>
        </is>
      </c>
      <c r="C7" s="23" t="inlineStr">
        <is>
          <t>過去実績ベース</t>
        </is>
      </c>
    </row>
    <row r="8">
      <c r="A8" s="6" t="inlineStr">
        <is>
          <t>売上原価率</t>
        </is>
      </c>
      <c r="B8" s="22" t="inlineStr">
        <is>
          <t>30%</t>
        </is>
      </c>
      <c r="C8" s="23" t="inlineStr">
        <is>
          <t>食材・講師・外注費</t>
        </is>
      </c>
    </row>
    <row r="9">
      <c r="A9" s="6" t="inlineStr">
        <is>
          <t>人件費成長率</t>
        </is>
      </c>
      <c r="B9" s="22" t="inlineStr">
        <is>
          <t>20%/年</t>
        </is>
      </c>
      <c r="C9" s="23" t="inlineStr">
        <is>
          <t>採用計画連動</t>
        </is>
      </c>
    </row>
    <row r="10">
      <c r="A10" s="6" t="inlineStr">
        <is>
          <t>為替前提</t>
        </is>
      </c>
      <c r="B10" s="22" t="inlineStr">
        <is>
          <t>150円/$</t>
        </is>
      </c>
      <c r="C10" s="23" t="inlineStr">
        <is>
          <t>経営計画ベース</t>
        </is>
      </c>
    </row>
    <row r="11">
      <c r="A11" s="6" t="inlineStr">
        <is>
          <t>消費税率</t>
        </is>
      </c>
      <c r="B11" s="22" t="inlineStr">
        <is>
          <t>10%</t>
        </is>
      </c>
      <c r="C11" s="23" t="inlineStr">
        <is>
          <t>現行税制</t>
        </is>
      </c>
    </row>
    <row r="12">
      <c r="A12" s="6" t="inlineStr">
        <is>
          <t>法人税実効税率</t>
        </is>
      </c>
      <c r="B12" s="22" t="inlineStr">
        <is>
          <t>30%</t>
        </is>
      </c>
      <c r="C12" s="23" t="inlineStr">
        <is>
          <t>中小企業前提</t>
        </is>
      </c>
    </row>
    <row r="13">
      <c r="A13" s="6" t="inlineStr">
        <is>
          <t>割引率（WACC）</t>
        </is>
      </c>
      <c r="B13" s="22" t="inlineStr">
        <is>
          <t>10%</t>
        </is>
      </c>
      <c r="C13" s="23" t="inlineStr">
        <is>
          <t>DCF計算用</t>
        </is>
      </c>
    </row>
    <row r="14">
      <c r="A14" s="6" t="inlineStr">
        <is>
          <t>ターミナル成長率</t>
        </is>
      </c>
      <c r="B14" s="22" t="inlineStr">
        <is>
          <t>2%</t>
        </is>
      </c>
      <c r="C14" s="23" t="inlineStr">
        <is>
          <t>永続成長前提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2026-02-06T03:51:56Z</dcterms:created>
  <dcterms:modified xmlns:dcterms="http://purl.org/dc/terms/" xmlns:xsi="http://www.w3.org/2001/XMLSchema-instance" xsi:type="dcterms:W3CDTF">2026-02-06T03:51:56Z</dcterms:modified>
</cp:coreProperties>
</file>